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rbaramathiesen/Google Drev/CTN/Cochlear /Virus to cochlea article /Data/Raw/CT/"/>
    </mc:Choice>
  </mc:AlternateContent>
  <xr:revisionPtr revIDLastSave="0" documentId="13_ncr:1_{8E86371A-ECAC-DC46-A1EE-1D71A538A39A}" xr6:coauthVersionLast="47" xr6:coauthVersionMax="47" xr10:uidLastSave="{00000000-0000-0000-0000-000000000000}"/>
  <bookViews>
    <workbookView xWindow="15500" yWindow="500" windowWidth="12920" windowHeight="16000" xr2:uid="{AF4E9EAF-2B98-A44E-B26E-D4A8B4B4538D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8" i="1" l="1"/>
  <c r="D18" i="1"/>
  <c r="E18" i="1"/>
  <c r="B18" i="1"/>
  <c r="C12" i="1"/>
  <c r="D12" i="1"/>
  <c r="E12" i="1"/>
  <c r="C13" i="1"/>
  <c r="C15" i="1" s="1"/>
  <c r="D13" i="1"/>
  <c r="E13" i="1"/>
  <c r="C14" i="1"/>
  <c r="D14" i="1"/>
  <c r="E14" i="1"/>
  <c r="D15" i="1"/>
  <c r="E15" i="1"/>
  <c r="C16" i="1"/>
  <c r="D16" i="1"/>
  <c r="E16" i="1"/>
  <c r="C17" i="1"/>
  <c r="D17" i="1"/>
  <c r="E17" i="1"/>
  <c r="B17" i="1"/>
  <c r="B16" i="1"/>
  <c r="B12" i="1"/>
  <c r="B14" i="1" s="1"/>
  <c r="B13" i="1"/>
  <c r="B15" i="1" s="1"/>
</calcChain>
</file>

<file path=xl/sharedStrings.xml><?xml version="1.0" encoding="utf-8"?>
<sst xmlns="http://schemas.openxmlformats.org/spreadsheetml/2006/main" count="22" uniqueCount="22">
  <si>
    <t>CA dimension</t>
  </si>
  <si>
    <t>M1_R</t>
  </si>
  <si>
    <t>M2_L</t>
  </si>
  <si>
    <t xml:space="preserve">SAS opening </t>
  </si>
  <si>
    <t>M1_L</t>
  </si>
  <si>
    <t>Middle</t>
  </si>
  <si>
    <t xml:space="preserve">Cochlear end </t>
  </si>
  <si>
    <t>Length</t>
  </si>
  <si>
    <t>M2_R</t>
  </si>
  <si>
    <t>M3_R</t>
  </si>
  <si>
    <t>M3_L</t>
  </si>
  <si>
    <t>M4_R</t>
  </si>
  <si>
    <t>M4_L</t>
  </si>
  <si>
    <t>Mean mm</t>
  </si>
  <si>
    <t>std mm</t>
  </si>
  <si>
    <t>Mean µm</t>
  </si>
  <si>
    <t>std µm</t>
  </si>
  <si>
    <t>Min</t>
  </si>
  <si>
    <t>Max</t>
  </si>
  <si>
    <t>m6_R</t>
  </si>
  <si>
    <t>M6_L</t>
  </si>
  <si>
    <t>SEM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</si>
</sst>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6592A-625C-E646-8959-692126C79A97}">
  <dimension ref="A1:E18"/>
  <sheetViews>
    <sheetView tabSelected="1" workbookViewId="0">
      <selection activeCell="B18" sqref="B18"/>
    </sheetView>
  </sheetViews>
  <sheetFormatPr baseColWidth="10" defaultRowHeight="16" x14ac:dyDescent="0.2"/>
  <sheetData>
    <row r="1" spans="1:5" x14ac:dyDescent="0.2">
      <c r="A1" t="s">
        <v>0</v>
      </c>
      <c r="B1" t="s">
        <v>3</v>
      </c>
      <c r="C1" t="s">
        <v>5</v>
      </c>
      <c r="D1" t="s">
        <v>6</v>
      </c>
      <c r="E1" t="s">
        <v>7</v>
      </c>
    </row>
    <row r="2" spans="1:5" x14ac:dyDescent="0.2">
      <c r="A2" t="s">
        <v>1</v>
      </c>
      <c r="B2">
        <v>0.38</v>
      </c>
      <c r="C2">
        <v>0.12039999999999999</v>
      </c>
      <c r="D2">
        <v>0.17499999999999999</v>
      </c>
      <c r="E2">
        <v>0.442</v>
      </c>
    </row>
    <row r="3" spans="1:5" x14ac:dyDescent="0.2">
      <c r="A3" t="s">
        <v>4</v>
      </c>
      <c r="B3">
        <v>0.36699999999999999</v>
      </c>
      <c r="C3">
        <v>0.1061</v>
      </c>
      <c r="D3">
        <v>0.20180000000000001</v>
      </c>
      <c r="E3">
        <v>0.37259999999999999</v>
      </c>
    </row>
    <row r="4" spans="1:5" x14ac:dyDescent="0.2">
      <c r="A4" t="s">
        <v>8</v>
      </c>
      <c r="B4">
        <v>0.39800000000000002</v>
      </c>
      <c r="C4">
        <v>0.154</v>
      </c>
      <c r="D4">
        <v>0.1414</v>
      </c>
      <c r="E4">
        <v>0.42249999999999999</v>
      </c>
    </row>
    <row r="5" spans="1:5" x14ac:dyDescent="0.2">
      <c r="A5" t="s">
        <v>2</v>
      </c>
      <c r="B5">
        <v>0.26</v>
      </c>
      <c r="C5">
        <v>0.125</v>
      </c>
      <c r="D5">
        <v>0.1487</v>
      </c>
      <c r="E5">
        <v>0.40899999999999997</v>
      </c>
    </row>
    <row r="6" spans="1:5" x14ac:dyDescent="0.2">
      <c r="A6" t="s">
        <v>9</v>
      </c>
      <c r="B6">
        <v>0.32719999999999999</v>
      </c>
      <c r="C6">
        <v>0.1221</v>
      </c>
      <c r="D6">
        <v>0.18060000000000001</v>
      </c>
      <c r="E6">
        <v>0.48970000000000002</v>
      </c>
    </row>
    <row r="7" spans="1:5" x14ac:dyDescent="0.2">
      <c r="A7" t="s">
        <v>10</v>
      </c>
      <c r="B7">
        <v>0.37909999999999999</v>
      </c>
      <c r="C7">
        <v>0.1166</v>
      </c>
      <c r="D7">
        <v>0.20430000000000001</v>
      </c>
      <c r="E7">
        <v>0.44350000000000001</v>
      </c>
    </row>
    <row r="8" spans="1:5" x14ac:dyDescent="0.2">
      <c r="A8" t="s">
        <v>11</v>
      </c>
      <c r="B8">
        <v>0.3332</v>
      </c>
      <c r="C8">
        <v>0.1401</v>
      </c>
      <c r="D8">
        <v>0.184</v>
      </c>
      <c r="E8">
        <v>0.48870000000000002</v>
      </c>
    </row>
    <row r="9" spans="1:5" x14ac:dyDescent="0.2">
      <c r="A9" t="s">
        <v>12</v>
      </c>
      <c r="B9">
        <v>0.47739999999999999</v>
      </c>
      <c r="C9">
        <v>0.1242</v>
      </c>
      <c r="D9">
        <v>0.157</v>
      </c>
      <c r="E9">
        <v>0.44209999999999999</v>
      </c>
    </row>
    <row r="10" spans="1:5" x14ac:dyDescent="0.2">
      <c r="A10" t="s">
        <v>19</v>
      </c>
      <c r="B10">
        <v>0.33379999999999999</v>
      </c>
      <c r="C10">
        <v>0.1051</v>
      </c>
      <c r="D10">
        <v>0.1515</v>
      </c>
      <c r="E10">
        <v>0.38579999999999998</v>
      </c>
    </row>
    <row r="11" spans="1:5" x14ac:dyDescent="0.2">
      <c r="A11" t="s">
        <v>20</v>
      </c>
      <c r="B11">
        <v>0.25609999999999999</v>
      </c>
      <c r="C11">
        <v>0.108</v>
      </c>
      <c r="D11">
        <v>0.14530000000000001</v>
      </c>
      <c r="E11">
        <v>0.33090000000000003</v>
      </c>
    </row>
    <row r="12" spans="1:5" x14ac:dyDescent="0.2">
      <c r="A12" t="s">
        <v>13</v>
      </c>
      <c r="B12">
        <f>AVERAGE(B2:B11)</f>
        <v>0.35117999999999999</v>
      </c>
      <c r="C12">
        <f t="shared" ref="C12:E12" si="0">AVERAGE(C2:C11)</f>
        <v>0.12216</v>
      </c>
      <c r="D12">
        <f t="shared" si="0"/>
        <v>0.16896</v>
      </c>
      <c r="E12">
        <f t="shared" si="0"/>
        <v>0.42268</v>
      </c>
    </row>
    <row r="13" spans="1:5" x14ac:dyDescent="0.2">
      <c r="A13" t="s">
        <v>14</v>
      </c>
      <c r="B13">
        <f>STDEV(B2:B11)</f>
        <v>6.5437311816560373E-2</v>
      </c>
      <c r="C13">
        <f t="shared" ref="C13:E13" si="1">STDEV(C2:C11)</f>
        <v>1.5388827115800531E-2</v>
      </c>
      <c r="D13">
        <f t="shared" si="1"/>
        <v>2.3341103468154909E-2</v>
      </c>
      <c r="E13">
        <f t="shared" si="1"/>
        <v>5.0014526778616002E-2</v>
      </c>
    </row>
    <row r="14" spans="1:5" x14ac:dyDescent="0.2">
      <c r="A14" t="s">
        <v>15</v>
      </c>
      <c r="B14">
        <f>B12*1000</f>
        <v>351.18</v>
      </c>
      <c r="C14">
        <f t="shared" ref="C14:E14" si="2">C12*1000</f>
        <v>122.16000000000001</v>
      </c>
      <c r="D14">
        <f t="shared" si="2"/>
        <v>168.96</v>
      </c>
      <c r="E14">
        <f t="shared" si="2"/>
        <v>422.68</v>
      </c>
    </row>
    <row r="15" spans="1:5" x14ac:dyDescent="0.2">
      <c r="A15" t="s">
        <v>16</v>
      </c>
      <c r="B15">
        <f>B13*1000</f>
        <v>65.437311816560367</v>
      </c>
      <c r="C15">
        <f t="shared" ref="C15:E15" si="3">C13*1000</f>
        <v>15.388827115800531</v>
      </c>
      <c r="D15">
        <f t="shared" si="3"/>
        <v>23.341103468154909</v>
      </c>
      <c r="E15">
        <f t="shared" si="3"/>
        <v>50.014526778616002</v>
      </c>
    </row>
    <row r="16" spans="1:5" x14ac:dyDescent="0.2">
      <c r="A16" t="s">
        <v>17</v>
      </c>
      <c r="B16">
        <f>MIN(B2:B11)</f>
        <v>0.25609999999999999</v>
      </c>
      <c r="C16">
        <f t="shared" ref="C16:E16" si="4">MIN(C2:C11)</f>
        <v>0.1051</v>
      </c>
      <c r="D16">
        <f t="shared" si="4"/>
        <v>0.1414</v>
      </c>
      <c r="E16">
        <f t="shared" si="4"/>
        <v>0.33090000000000003</v>
      </c>
    </row>
    <row r="17" spans="1:5" x14ac:dyDescent="0.2">
      <c r="A17" t="s">
        <v>18</v>
      </c>
      <c r="B17">
        <f>MAX(B2:B11)</f>
        <v>0.47739999999999999</v>
      </c>
      <c r="C17">
        <f t="shared" ref="C17:E17" si="5">MAX(C2:C11)</f>
        <v>0.154</v>
      </c>
      <c r="D17">
        <f t="shared" si="5"/>
        <v>0.20430000000000001</v>
      </c>
      <c r="E17">
        <f t="shared" si="5"/>
        <v>0.48970000000000002</v>
      </c>
    </row>
    <row r="18" spans="1:5" x14ac:dyDescent="0.2">
      <c r="A18" t="s">
        <v>21</v>
      </c>
      <c r="B18">
        <f>B15/SQRT(10)</f>
        <v>20.693094929898116</v>
      </c>
      <c r="C18">
        <f t="shared" ref="C18:E18" si="6">C15/SQRT(10)</f>
        <v>4.866374420448941</v>
      </c>
      <c r="D18">
        <f t="shared" si="6"/>
        <v>7.3811050061024943</v>
      </c>
      <c r="E18">
        <f t="shared" si="6"/>
        <v>15.815982071591055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2021-11-05T13:24:40Z</dcterms:created>
  <dcterms:modified xsi:type="dcterms:W3CDTF">2022-01-10T13:26:56Z</dcterms:modified>
</cp:coreProperties>
</file>